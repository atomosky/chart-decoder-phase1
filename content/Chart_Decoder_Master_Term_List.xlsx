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rms" sheetId="2" state="visible" r:id="rId4"/>
    <sheet name="Coverage" sheetId="3" state="visible" r:id="rId5"/>
  </sheets>
  <definedNames>
    <definedName function="false" hidden="true" localSheetId="1" name="_xlnm._FilterDatabase" vbProcedure="false">Terms!$A$1:$J$31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<sst xmlns="http://schemas.openxmlformats.org/spreadsheetml/2006/main" count="349" uniqueCount="163">
  <si>
    <t xml:space="preserve">Chart Decoder: Master Term List</t>
  </si>
  <si>
    <t xml:space="preserve">One list for every condition. Every row is one term; the game reads from this list. Phase 1 starts with HTN.</t>
  </si>
  <si>
    <t xml:space="preserve">How to use</t>
  </si>
  <si>
    <t xml:space="preserve">Where to edit</t>
  </si>
  <si>
    <t xml:space="preserve">The Terms sheet. Add rows at the bottom; keep one term per row.</t>
  </si>
  <si>
    <t xml:space="preserve">Starter rows</t>
  </si>
  <si>
    <t xml:space="preserve">Drafted to show the format. Definitions, levels and example sentences are drafts: verify each against its source, then set Status to Verified.</t>
  </si>
  <si>
    <t xml:space="preserve">Example sentences</t>
  </si>
  <si>
    <t xml:space="preserve">Illustrative, not quoted. Replace with real examples from MTSamples where you can.</t>
  </si>
  <si>
    <t xml:space="preserve">Dropdowns</t>
  </si>
  <si>
    <t xml:space="preserve">Category, Level and Status use dropdown lists so the game can filter on them.</t>
  </si>
  <si>
    <t xml:space="preserve">Adding conditions</t>
  </si>
  <si>
    <t xml:space="preserve">Add rows to the same sheet and set Condition to DM, Stroke, etc. A term shared by several conditions stays one row; list them all, e.g. HTN, Stroke.</t>
  </si>
  <si>
    <t xml:space="preserve">General terms</t>
  </si>
  <si>
    <t xml:space="preserve">Terms that apply everywhere (hx, Pt, PO) use Condition = All. These also feed the bootcamp.</t>
  </si>
  <si>
    <t xml:space="preserve">Columns</t>
  </si>
  <si>
    <t xml:space="preserve">Term</t>
  </si>
  <si>
    <t xml:space="preserve">The word or phrase as players will see it; include the abbreviation in parentheses.</t>
  </si>
  <si>
    <t xml:space="preserve">Condition</t>
  </si>
  <si>
    <t xml:space="preserve">Which condition(s) the term belongs to: HTN, DM, Stroke, or All. Separate several with commas.</t>
  </si>
  <si>
    <t xml:space="preserve">Category</t>
  </si>
  <si>
    <t xml:space="preserve">Disease, Medication, Sign / symptom, Lab / test, or Abbreviation.</t>
  </si>
  <si>
    <t xml:space="preserve">Level</t>
  </si>
  <si>
    <t xml:space="preserve">Basic, Intermediate, or Advanced. Drives progression.</t>
  </si>
  <si>
    <t xml:space="preserve">Plain-language definition</t>
  </si>
  <si>
    <t xml:space="preserve">One or two sentences an IT-background learner can follow.</t>
  </si>
  <si>
    <t xml:space="preserve">Example from a note</t>
  </si>
  <si>
    <t xml:space="preserve">How the term appears in a chart.</t>
  </si>
  <si>
    <t xml:space="preserve">Source</t>
  </si>
  <si>
    <t xml:space="preserve">Where the term comes from: ICD-10-CM, RxNorm or MTSamples. "Draft example" means the example sentence is a placeholder; replace it with a real line from MTSamples, then update Source.</t>
  </si>
  <si>
    <t xml:space="preserve">Related term / Relationship</t>
  </si>
  <si>
    <t xml:space="preserve">Optional links between terms (e.g., Lisinopril | Member of class | ACE inhibitor). Feeds smarter progression later.</t>
  </si>
  <si>
    <t xml:space="preserve">Status</t>
  </si>
  <si>
    <t xml:space="preserve">Draft, Verified, or Needs review.</t>
  </si>
  <si>
    <t xml:space="preserve">Related term</t>
  </si>
  <si>
    <t xml:space="preserve">Relationship</t>
  </si>
  <si>
    <t xml:space="preserve">Hypertension (HTN)</t>
  </si>
  <si>
    <t xml:space="preserve">HTN</t>
  </si>
  <si>
    <t xml:space="preserve">Disease</t>
  </si>
  <si>
    <t xml:space="preserve">Basic</t>
  </si>
  <si>
    <t xml:space="preserve">Blood pressure that stays higher than normal over time.</t>
  </si>
  <si>
    <t xml:space="preserve">Pt has a hx of HTN, well controlled on lisinopril.</t>
  </si>
  <si>
    <t xml:space="preserve">ICD-10-CM (I10)</t>
  </si>
  <si>
    <t xml:space="preserve">Lisinopril</t>
  </si>
  <si>
    <t xml:space="preserve">Treated by</t>
  </si>
  <si>
    <t xml:space="preserve">Draft</t>
  </si>
  <si>
    <t xml:space="preserve">Hypertensive urgency</t>
  </si>
  <si>
    <t xml:space="preserve">Advanced</t>
  </si>
  <si>
    <t xml:space="preserve">Very high blood pressure without signs of new organ damage.</t>
  </si>
  <si>
    <t xml:space="preserve">BP 192/118 on arrival; no chest pain or neuro deficits. Hypertensive urgency.</t>
  </si>
  <si>
    <t xml:space="preserve">ICD-10-CM (I16.0)</t>
  </si>
  <si>
    <t xml:space="preserve">Type of</t>
  </si>
  <si>
    <t xml:space="preserve">Hypertensive emergency</t>
  </si>
  <si>
    <t xml:space="preserve">Very high blood pressure with signs of new organ damage, such as to the heart, brain or kidneys.</t>
  </si>
  <si>
    <t xml:space="preserve">Hypertensive emergency with acute kidney injury; admitted to ICU.</t>
  </si>
  <si>
    <t xml:space="preserve">ICD-10-CM (I16.1)</t>
  </si>
  <si>
    <t xml:space="preserve">Left ventricular hypertrophy (LVH)</t>
  </si>
  <si>
    <t xml:space="preserve">Thickening of the wall of the heart's main pumping chamber, often from years of high blood pressure.</t>
  </si>
  <si>
    <t xml:space="preserve">Echo shows mild LVH, likely 2/2 longstanding HTN.</t>
  </si>
  <si>
    <t xml:space="preserve">ICD-10-CM</t>
  </si>
  <si>
    <t xml:space="preserve">Complication of</t>
  </si>
  <si>
    <t xml:space="preserve">Chronic kidney disease (CKD)</t>
  </si>
  <si>
    <t xml:space="preserve">HTN, DM</t>
  </si>
  <si>
    <t xml:space="preserve">Intermediate</t>
  </si>
  <si>
    <t xml:space="preserve">Long-term loss of kidney function. High blood pressure is a leading cause.</t>
  </si>
  <si>
    <t xml:space="preserve">CKD stage 3, followed by nephrology.</t>
  </si>
  <si>
    <t xml:space="preserve">Stroke (CVA)</t>
  </si>
  <si>
    <t xml:space="preserve">HTN, Stroke</t>
  </si>
  <si>
    <t xml:space="preserve">Brain injury from blocked or bleeding blood flow. High blood pressure raises the risk.</t>
  </si>
  <si>
    <t xml:space="preserve">PMH: HTN, prior CVA without residual deficits.</t>
  </si>
  <si>
    <t xml:space="preserve">Risk raised by</t>
  </si>
  <si>
    <t xml:space="preserve">ACE inhibitor</t>
  </si>
  <si>
    <t xml:space="preserve">Medication</t>
  </si>
  <si>
    <t xml:space="preserve">A class of medicines that relax blood vessels by blocking a hormone that narrows them.</t>
  </si>
  <si>
    <t xml:space="preserve">Started on an ACE inhibitor for BP control.</t>
  </si>
  <si>
    <t xml:space="preserve">RxNorm (drug class)</t>
  </si>
  <si>
    <t xml:space="preserve">Includes</t>
  </si>
  <si>
    <t xml:space="preserve">An ACE inhibitor commonly used to treat high blood pressure.</t>
  </si>
  <si>
    <t xml:space="preserve">Continue lisinopril 10 mg PO daily.</t>
  </si>
  <si>
    <t xml:space="preserve">RxNorm</t>
  </si>
  <si>
    <t xml:space="preserve">Member of class</t>
  </si>
  <si>
    <t xml:space="preserve">ARB (angiotensin II receptor blocker)</t>
  </si>
  <si>
    <t xml:space="preserve">A class of medicines that relax blood vessels; often used if an ACE inhibitor causes a cough.</t>
  </si>
  <si>
    <t xml:space="preserve">Switched from ACE inhibitor to ARB due to cough.</t>
  </si>
  <si>
    <t xml:space="preserve">Losartan</t>
  </si>
  <si>
    <t xml:space="preserve">An ARB used to treat high blood pressure.</t>
  </si>
  <si>
    <t xml:space="preserve">Losartan 50 mg PO daily.</t>
  </si>
  <si>
    <t xml:space="preserve">Thiazide diuretic</t>
  </si>
  <si>
    <t xml:space="preserve">A 'water pill' that helps the kidneys remove extra salt and water, lowering blood pressure.</t>
  </si>
  <si>
    <t xml:space="preserve">Add a thiazide diuretic if BP remains above goal.</t>
  </si>
  <si>
    <t xml:space="preserve">Hydrochlorothiazide (HCTZ)</t>
  </si>
  <si>
    <t xml:space="preserve">A thiazide diuretic used to treat high blood pressure.</t>
  </si>
  <si>
    <t xml:space="preserve">HCTZ 25 mg PO daily.</t>
  </si>
  <si>
    <t xml:space="preserve">Calcium channel blocker (CCB)</t>
  </si>
  <si>
    <t xml:space="preserve">A class of medicines that relax blood vessel walls to lower blood pressure.</t>
  </si>
  <si>
    <t xml:space="preserve">Pt on a CCB for HTN.</t>
  </si>
  <si>
    <t xml:space="preserve">Amlodipine</t>
  </si>
  <si>
    <t xml:space="preserve">A calcium channel blocker used to treat high blood pressure.</t>
  </si>
  <si>
    <t xml:space="preserve">Amlodipine 5 mg PO daily.</t>
  </si>
  <si>
    <t xml:space="preserve">Headache</t>
  </si>
  <si>
    <t xml:space="preserve">Sign / symptom</t>
  </si>
  <si>
    <t xml:space="preserve">Pain in the head. Can occur with very high blood pressure, though most people with HTN have no symptoms.</t>
  </si>
  <si>
    <t xml:space="preserve">Pt reports headache; BP elevated at 178/104.</t>
  </si>
  <si>
    <t xml:space="preserve">Draft example</t>
  </si>
  <si>
    <t xml:space="preserve">Can occur with</t>
  </si>
  <si>
    <t xml:space="preserve">Dry cough</t>
  </si>
  <si>
    <t xml:space="preserve">A persistent cough without mucus; a known side effect of ACE inhibitors.</t>
  </si>
  <si>
    <t xml:space="preserve">Reports dry cough since starting lisinopril.</t>
  </si>
  <si>
    <t xml:space="preserve">Side effect of</t>
  </si>
  <si>
    <t xml:space="preserve">Edema</t>
  </si>
  <si>
    <t xml:space="preserve">Swelling from extra fluid in the body's tissues, often in the ankles; a possible side effect of amlodipine.</t>
  </si>
  <si>
    <t xml:space="preserve">1+ bilateral LE edema.</t>
  </si>
  <si>
    <t xml:space="preserve">Blood pressure (BP)</t>
  </si>
  <si>
    <t xml:space="preserve">Lab / test</t>
  </si>
  <si>
    <t xml:space="preserve">The force of blood against artery walls, written as systolic over diastolic (e.g., 120/80).</t>
  </si>
  <si>
    <t xml:space="preserve">BP 148/92, HR 76.</t>
  </si>
  <si>
    <t xml:space="preserve">Used to diagnose</t>
  </si>
  <si>
    <t xml:space="preserve">Systolic blood pressure (SBP)</t>
  </si>
  <si>
    <t xml:space="preserve">The top number in a BP reading: pressure when the heart beats.</t>
  </si>
  <si>
    <t xml:space="preserve">SBP consistently &gt; 140 on home readings.</t>
  </si>
  <si>
    <t xml:space="preserve">Part of</t>
  </si>
  <si>
    <t xml:space="preserve">Diastolic blood pressure (DBP)</t>
  </si>
  <si>
    <t xml:space="preserve">The bottom number in a BP reading: pressure when the heart rests between beats.</t>
  </si>
  <si>
    <t xml:space="preserve">DBP 95 today.</t>
  </si>
  <si>
    <t xml:space="preserve">Basic metabolic panel (BMP)</t>
  </si>
  <si>
    <t xml:space="preserve">A blood test that checks kidney function and electrolytes; often ordered when starting or adjusting BP meds.</t>
  </si>
  <si>
    <t xml:space="preserve">Repeat BMP in 2 weeks after starting lisinopril.</t>
  </si>
  <si>
    <t xml:space="preserve">Monitors</t>
  </si>
  <si>
    <t xml:space="preserve">Creatinine (Cr)</t>
  </si>
  <si>
    <t xml:space="preserve">A waste product in the blood; higher levels can mean the kidneys aren't working as well.</t>
  </si>
  <si>
    <t xml:space="preserve">Cr 1.4, up from baseline 1.1.</t>
  </si>
  <si>
    <t xml:space="preserve">Measures</t>
  </si>
  <si>
    <t xml:space="preserve">Potassium (K)</t>
  </si>
  <si>
    <t xml:space="preserve">An electrolyte important for heart rhythm; some BP meds raise it and others lower it.</t>
  </si>
  <si>
    <t xml:space="preserve">K 5.3 on ACE inhibitor; will monitor.</t>
  </si>
  <si>
    <t xml:space="preserve">Affected by</t>
  </si>
  <si>
    <t xml:space="preserve">Electrocardiogram (EKG / ECG)</t>
  </si>
  <si>
    <t xml:space="preserve">A test that records the heart's electrical activity; can show signs of LVH.</t>
  </si>
  <si>
    <t xml:space="preserve">EKG: NSR, voltage criteria for LVH.</t>
  </si>
  <si>
    <t xml:space="preserve">Can detect</t>
  </si>
  <si>
    <t xml:space="preserve">Echocardiogram (echo)</t>
  </si>
  <si>
    <t xml:space="preserve">An ultrasound of the heart that shows its structure and pumping.</t>
  </si>
  <si>
    <t xml:space="preserve">Echo ordered to evaluate for LVH.</t>
  </si>
  <si>
    <t xml:space="preserve">hx</t>
  </si>
  <si>
    <t xml:space="preserve">All</t>
  </si>
  <si>
    <t xml:space="preserve">Abbreviation</t>
  </si>
  <si>
    <t xml:space="preserve">History (e.g., a past condition).</t>
  </si>
  <si>
    <t xml:space="preserve">hx of HTN x 10 years.</t>
  </si>
  <si>
    <t xml:space="preserve">Pt</t>
  </si>
  <si>
    <t xml:space="preserve">Patient.</t>
  </si>
  <si>
    <t xml:space="preserve">Pt is a 58 y/o M with HTN.</t>
  </si>
  <si>
    <t xml:space="preserve">PMH</t>
  </si>
  <si>
    <t xml:space="preserve">Past medical history: the patient's previous and ongoing conditions.</t>
  </si>
  <si>
    <t xml:space="preserve">PMH: HTN, HLD, T2DM.</t>
  </si>
  <si>
    <t xml:space="preserve">PO</t>
  </si>
  <si>
    <t xml:space="preserve">By mouth (from Latin 'per os').</t>
  </si>
  <si>
    <t xml:space="preserve">Lisinopril 10 mg PO daily.</t>
  </si>
  <si>
    <t xml:space="preserve">2/2</t>
  </si>
  <si>
    <t xml:space="preserve">Secondary to; caused by.</t>
  </si>
  <si>
    <t xml:space="preserve">LVH 2/2 longstanding HTN.</t>
  </si>
  <si>
    <t xml:space="preserve">Coverage so far: terms by category and level</t>
  </si>
  <si>
    <t xml:space="preserve">Type a condition in B3 (e.g., HTN). Counts include that condition plus terms marked All.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</si>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</sst>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4A5568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i val="true"/>
      <sz val="10"/>
      <color rgb="FF4A5568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EEF3FA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1E7"/>
      </left>
      <right style="thin">
        <color rgb="FFDDE1E7"/>
      </right>
      <top style="thin">
        <color rgb="FFDDE1E7"/>
      </top>
      <bottom style="thin">
        <color rgb="FFDDE1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213D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DDE1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23.8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6" customFormat="false" ht="15" hidden="false" customHeight="false" outlineLevel="0" collapsed="false">
      <c r="A16" s="4" t="s">
        <v>22</v>
      </c>
      <c r="B16" s="5" t="s">
        <v>23</v>
      </c>
    </row>
    <row r="17" customFormat="false" ht="15" hidden="false" customHeight="false" outlineLevel="0" collapsed="false">
      <c r="A17" s="4" t="s">
        <v>24</v>
      </c>
      <c r="B17" s="5" t="s">
        <v>25</v>
      </c>
    </row>
    <row r="18" customFormat="false" ht="15" hidden="false" customHeight="false" outlineLevel="0" collapsed="false">
      <c r="A18" s="4" t="s">
        <v>26</v>
      </c>
      <c r="B18" s="5" t="s">
        <v>27</v>
      </c>
    </row>
    <row r="19" customFormat="false" ht="23.85" hidden="false" customHeight="false" outlineLevel="0" collapsed="false">
      <c r="A19" s="4" t="s">
        <v>28</v>
      </c>
      <c r="B19" s="5" t="s">
        <v>29</v>
      </c>
    </row>
    <row r="20" customFormat="false" ht="23.85" hidden="false" customHeight="false" outlineLevel="0" collapsed="false">
      <c r="A20" s="4" t="s">
        <v>30</v>
      </c>
      <c r="B20" s="5" t="s">
        <v>31</v>
      </c>
    </row>
    <row r="21" customFormat="false" ht="15" hidden="false" customHeight="false" outlineLevel="0" collapsed="false">
      <c r="A21" s="4" t="s">
        <v>32</v>
      </c>
      <c r="B21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6" t="s">
        <v>16</v>
      </c>
      <c r="B1" s="6" t="s">
        <v>18</v>
      </c>
      <c r="C1" s="6" t="s">
        <v>20</v>
      </c>
      <c r="D1" s="6" t="s">
        <v>22</v>
      </c>
      <c r="E1" s="6" t="s">
        <v>24</v>
      </c>
      <c r="F1" s="6" t="s">
        <v>26</v>
      </c>
      <c r="G1" s="6" t="s">
        <v>28</v>
      </c>
      <c r="H1" s="6" t="s">
        <v>34</v>
      </c>
      <c r="I1" s="6" t="s">
        <v>35</v>
      </c>
      <c r="J1" s="6" t="s">
        <v>32</v>
      </c>
    </row>
    <row r="2" customFormat="false" ht="15" hidden="false" customHeight="false" outlineLevel="0" collapsed="false">
      <c r="A2" s="7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</row>
    <row r="3" customFormat="false" ht="23.85" hidden="false" customHeight="false" outlineLevel="0" collapsed="false">
      <c r="A3" s="9" t="s">
        <v>46</v>
      </c>
      <c r="B3" s="10" t="s">
        <v>37</v>
      </c>
      <c r="C3" s="10" t="s">
        <v>38</v>
      </c>
      <c r="D3" s="10" t="s">
        <v>47</v>
      </c>
      <c r="E3" s="10" t="s">
        <v>48</v>
      </c>
      <c r="F3" s="10" t="s">
        <v>49</v>
      </c>
      <c r="G3" s="10" t="s">
        <v>50</v>
      </c>
      <c r="H3" s="10" t="s">
        <v>36</v>
      </c>
      <c r="I3" s="10" t="s">
        <v>51</v>
      </c>
      <c r="J3" s="10" t="s">
        <v>45</v>
      </c>
    </row>
    <row r="4" customFormat="false" ht="23.85" hidden="false" customHeight="false" outlineLevel="0" collapsed="false">
      <c r="A4" s="7" t="s">
        <v>52</v>
      </c>
      <c r="B4" s="8" t="s">
        <v>37</v>
      </c>
      <c r="C4" s="8" t="s">
        <v>38</v>
      </c>
      <c r="D4" s="8" t="s">
        <v>47</v>
      </c>
      <c r="E4" s="8" t="s">
        <v>53</v>
      </c>
      <c r="F4" s="8" t="s">
        <v>54</v>
      </c>
      <c r="G4" s="8" t="s">
        <v>55</v>
      </c>
      <c r="H4" s="8" t="s">
        <v>36</v>
      </c>
      <c r="I4" s="8" t="s">
        <v>51</v>
      </c>
      <c r="J4" s="8" t="s">
        <v>45</v>
      </c>
    </row>
    <row r="5" customFormat="false" ht="23.85" hidden="false" customHeight="false" outlineLevel="0" collapsed="false">
      <c r="A5" s="9" t="s">
        <v>56</v>
      </c>
      <c r="B5" s="10" t="s">
        <v>37</v>
      </c>
      <c r="C5" s="10" t="s">
        <v>38</v>
      </c>
      <c r="D5" s="10" t="s">
        <v>47</v>
      </c>
      <c r="E5" s="10" t="s">
        <v>57</v>
      </c>
      <c r="F5" s="10" t="s">
        <v>58</v>
      </c>
      <c r="G5" s="10" t="s">
        <v>59</v>
      </c>
      <c r="H5" s="10" t="s">
        <v>36</v>
      </c>
      <c r="I5" s="10" t="s">
        <v>60</v>
      </c>
      <c r="J5" s="10" t="s">
        <v>45</v>
      </c>
    </row>
    <row r="6" customFormat="false" ht="23.85" hidden="false" customHeight="false" outlineLevel="0" collapsed="false">
      <c r="A6" s="7" t="s">
        <v>61</v>
      </c>
      <c r="B6" s="8" t="s">
        <v>62</v>
      </c>
      <c r="C6" s="8" t="s">
        <v>38</v>
      </c>
      <c r="D6" s="8" t="s">
        <v>63</v>
      </c>
      <c r="E6" s="8" t="s">
        <v>64</v>
      </c>
      <c r="F6" s="8" t="s">
        <v>65</v>
      </c>
      <c r="G6" s="8" t="s">
        <v>59</v>
      </c>
      <c r="H6" s="8" t="s">
        <v>36</v>
      </c>
      <c r="I6" s="8" t="s">
        <v>60</v>
      </c>
      <c r="J6" s="8" t="s">
        <v>45</v>
      </c>
    </row>
    <row r="7" customFormat="false" ht="23.85" hidden="false" customHeight="false" outlineLevel="0" collapsed="false">
      <c r="A7" s="9" t="s">
        <v>66</v>
      </c>
      <c r="B7" s="10" t="s">
        <v>67</v>
      </c>
      <c r="C7" s="10" t="s">
        <v>38</v>
      </c>
      <c r="D7" s="10" t="s">
        <v>63</v>
      </c>
      <c r="E7" s="10" t="s">
        <v>68</v>
      </c>
      <c r="F7" s="10" t="s">
        <v>69</v>
      </c>
      <c r="G7" s="10" t="s">
        <v>59</v>
      </c>
      <c r="H7" s="10" t="s">
        <v>36</v>
      </c>
      <c r="I7" s="10" t="s">
        <v>70</v>
      </c>
      <c r="J7" s="10" t="s">
        <v>45</v>
      </c>
    </row>
    <row r="8" customFormat="false" ht="23.85" hidden="false" customHeight="false" outlineLevel="0" collapsed="false">
      <c r="A8" s="7" t="s">
        <v>71</v>
      </c>
      <c r="B8" s="8" t="s">
        <v>37</v>
      </c>
      <c r="C8" s="8" t="s">
        <v>72</v>
      </c>
      <c r="D8" s="8" t="s">
        <v>63</v>
      </c>
      <c r="E8" s="8" t="s">
        <v>73</v>
      </c>
      <c r="F8" s="8" t="s">
        <v>74</v>
      </c>
      <c r="G8" s="8" t="s">
        <v>75</v>
      </c>
      <c r="H8" s="8" t="s">
        <v>43</v>
      </c>
      <c r="I8" s="8" t="s">
        <v>76</v>
      </c>
      <c r="J8" s="8" t="s">
        <v>45</v>
      </c>
    </row>
    <row r="9" customFormat="false" ht="23.85" hidden="false" customHeight="false" outlineLevel="0" collapsed="false">
      <c r="A9" s="9" t="s">
        <v>43</v>
      </c>
      <c r="B9" s="10" t="s">
        <v>37</v>
      </c>
      <c r="C9" s="10" t="s">
        <v>72</v>
      </c>
      <c r="D9" s="10" t="s">
        <v>63</v>
      </c>
      <c r="E9" s="10" t="s">
        <v>77</v>
      </c>
      <c r="F9" s="10" t="s">
        <v>78</v>
      </c>
      <c r="G9" s="10" t="s">
        <v>79</v>
      </c>
      <c r="H9" s="10" t="s">
        <v>71</v>
      </c>
      <c r="I9" s="10" t="s">
        <v>80</v>
      </c>
      <c r="J9" s="10" t="s">
        <v>45</v>
      </c>
    </row>
    <row r="10" customFormat="false" ht="23.85" hidden="false" customHeight="false" outlineLevel="0" collapsed="false">
      <c r="A10" s="7" t="s">
        <v>81</v>
      </c>
      <c r="B10" s="8" t="s">
        <v>37</v>
      </c>
      <c r="C10" s="8" t="s">
        <v>72</v>
      </c>
      <c r="D10" s="8" t="s">
        <v>63</v>
      </c>
      <c r="E10" s="8" t="s">
        <v>82</v>
      </c>
      <c r="F10" s="8" t="s">
        <v>83</v>
      </c>
      <c r="G10" s="8" t="s">
        <v>75</v>
      </c>
      <c r="H10" s="8" t="s">
        <v>84</v>
      </c>
      <c r="I10" s="8" t="s">
        <v>76</v>
      </c>
      <c r="J10" s="8" t="s">
        <v>45</v>
      </c>
    </row>
    <row r="11" customFormat="false" ht="23.85" hidden="false" customHeight="false" outlineLevel="0" collapsed="false">
      <c r="A11" s="9" t="s">
        <v>84</v>
      </c>
      <c r="B11" s="10" t="s">
        <v>37</v>
      </c>
      <c r="C11" s="10" t="s">
        <v>72</v>
      </c>
      <c r="D11" s="10" t="s">
        <v>63</v>
      </c>
      <c r="E11" s="10" t="s">
        <v>85</v>
      </c>
      <c r="F11" s="10" t="s">
        <v>86</v>
      </c>
      <c r="G11" s="10" t="s">
        <v>79</v>
      </c>
      <c r="H11" s="10" t="s">
        <v>81</v>
      </c>
      <c r="I11" s="10" t="s">
        <v>80</v>
      </c>
      <c r="J11" s="10" t="s">
        <v>45</v>
      </c>
    </row>
    <row r="12" customFormat="false" ht="23.85" hidden="false" customHeight="false" outlineLevel="0" collapsed="false">
      <c r="A12" s="7" t="s">
        <v>87</v>
      </c>
      <c r="B12" s="8" t="s">
        <v>37</v>
      </c>
      <c r="C12" s="8" t="s">
        <v>72</v>
      </c>
      <c r="D12" s="8" t="s">
        <v>63</v>
      </c>
      <c r="E12" s="8" t="s">
        <v>88</v>
      </c>
      <c r="F12" s="8" t="s">
        <v>89</v>
      </c>
      <c r="G12" s="8" t="s">
        <v>75</v>
      </c>
      <c r="H12" s="8" t="s">
        <v>90</v>
      </c>
      <c r="I12" s="8" t="s">
        <v>76</v>
      </c>
      <c r="J12" s="8" t="s">
        <v>45</v>
      </c>
    </row>
    <row r="13" customFormat="false" ht="15" hidden="false" customHeight="false" outlineLevel="0" collapsed="false">
      <c r="A13" s="9" t="s">
        <v>90</v>
      </c>
      <c r="B13" s="10" t="s">
        <v>37</v>
      </c>
      <c r="C13" s="10" t="s">
        <v>72</v>
      </c>
      <c r="D13" s="10" t="s">
        <v>63</v>
      </c>
      <c r="E13" s="10" t="s">
        <v>91</v>
      </c>
      <c r="F13" s="10" t="s">
        <v>92</v>
      </c>
      <c r="G13" s="10" t="s">
        <v>79</v>
      </c>
      <c r="H13" s="10" t="s">
        <v>87</v>
      </c>
      <c r="I13" s="10" t="s">
        <v>80</v>
      </c>
      <c r="J13" s="10" t="s">
        <v>45</v>
      </c>
    </row>
    <row r="14" customFormat="false" ht="23.85" hidden="false" customHeight="false" outlineLevel="0" collapsed="false">
      <c r="A14" s="7" t="s">
        <v>93</v>
      </c>
      <c r="B14" s="8" t="s">
        <v>37</v>
      </c>
      <c r="C14" s="8" t="s">
        <v>72</v>
      </c>
      <c r="D14" s="8" t="s">
        <v>63</v>
      </c>
      <c r="E14" s="8" t="s">
        <v>94</v>
      </c>
      <c r="F14" s="8" t="s">
        <v>95</v>
      </c>
      <c r="G14" s="8" t="s">
        <v>75</v>
      </c>
      <c r="H14" s="8" t="s">
        <v>96</v>
      </c>
      <c r="I14" s="8" t="s">
        <v>76</v>
      </c>
      <c r="J14" s="8" t="s">
        <v>45</v>
      </c>
    </row>
    <row r="15" customFormat="false" ht="23.85" hidden="false" customHeight="false" outlineLevel="0" collapsed="false">
      <c r="A15" s="9" t="s">
        <v>96</v>
      </c>
      <c r="B15" s="10" t="s">
        <v>37</v>
      </c>
      <c r="C15" s="10" t="s">
        <v>72</v>
      </c>
      <c r="D15" s="10" t="s">
        <v>63</v>
      </c>
      <c r="E15" s="10" t="s">
        <v>97</v>
      </c>
      <c r="F15" s="10" t="s">
        <v>98</v>
      </c>
      <c r="G15" s="10" t="s">
        <v>79</v>
      </c>
      <c r="H15" s="10" t="s">
        <v>93</v>
      </c>
      <c r="I15" s="10" t="s">
        <v>80</v>
      </c>
      <c r="J15" s="10" t="s">
        <v>45</v>
      </c>
    </row>
    <row r="16" customFormat="false" ht="35.05" hidden="false" customHeight="false" outlineLevel="0" collapsed="false">
      <c r="A16" s="7" t="s">
        <v>99</v>
      </c>
      <c r="B16" s="8" t="s">
        <v>37</v>
      </c>
      <c r="C16" s="8" t="s">
        <v>100</v>
      </c>
      <c r="D16" s="8" t="s">
        <v>39</v>
      </c>
      <c r="E16" s="8" t="s">
        <v>101</v>
      </c>
      <c r="F16" s="8" t="s">
        <v>102</v>
      </c>
      <c r="G16" s="8" t="s">
        <v>103</v>
      </c>
      <c r="H16" s="8" t="s">
        <v>46</v>
      </c>
      <c r="I16" s="8" t="s">
        <v>104</v>
      </c>
      <c r="J16" s="8" t="s">
        <v>45</v>
      </c>
    </row>
    <row r="17" customFormat="false" ht="23.85" hidden="false" customHeight="false" outlineLevel="0" collapsed="false">
      <c r="A17" s="9" t="s">
        <v>105</v>
      </c>
      <c r="B17" s="10" t="s">
        <v>37</v>
      </c>
      <c r="C17" s="10" t="s">
        <v>100</v>
      </c>
      <c r="D17" s="10" t="s">
        <v>63</v>
      </c>
      <c r="E17" s="10" t="s">
        <v>106</v>
      </c>
      <c r="F17" s="10" t="s">
        <v>107</v>
      </c>
      <c r="G17" s="10" t="s">
        <v>103</v>
      </c>
      <c r="H17" s="10" t="s">
        <v>43</v>
      </c>
      <c r="I17" s="10" t="s">
        <v>108</v>
      </c>
      <c r="J17" s="10" t="s">
        <v>45</v>
      </c>
    </row>
    <row r="18" customFormat="false" ht="23.85" hidden="false" customHeight="false" outlineLevel="0" collapsed="false">
      <c r="A18" s="7" t="s">
        <v>109</v>
      </c>
      <c r="B18" s="8" t="s">
        <v>37</v>
      </c>
      <c r="C18" s="8" t="s">
        <v>100</v>
      </c>
      <c r="D18" s="8" t="s">
        <v>63</v>
      </c>
      <c r="E18" s="8" t="s">
        <v>110</v>
      </c>
      <c r="F18" s="8" t="s">
        <v>111</v>
      </c>
      <c r="G18" s="8" t="s">
        <v>103</v>
      </c>
      <c r="H18" s="8" t="s">
        <v>96</v>
      </c>
      <c r="I18" s="8" t="s">
        <v>108</v>
      </c>
      <c r="J18" s="8" t="s">
        <v>45</v>
      </c>
    </row>
    <row r="19" customFormat="false" ht="23.85" hidden="false" customHeight="false" outlineLevel="0" collapsed="false">
      <c r="A19" s="9" t="s">
        <v>112</v>
      </c>
      <c r="B19" s="10" t="s">
        <v>37</v>
      </c>
      <c r="C19" s="10" t="s">
        <v>113</v>
      </c>
      <c r="D19" s="10" t="s">
        <v>39</v>
      </c>
      <c r="E19" s="10" t="s">
        <v>114</v>
      </c>
      <c r="F19" s="10" t="s">
        <v>115</v>
      </c>
      <c r="G19" s="10" t="s">
        <v>103</v>
      </c>
      <c r="H19" s="10" t="s">
        <v>36</v>
      </c>
      <c r="I19" s="10" t="s">
        <v>116</v>
      </c>
      <c r="J19" s="10" t="s">
        <v>45</v>
      </c>
    </row>
    <row r="20" customFormat="false" ht="23.85" hidden="false" customHeight="false" outlineLevel="0" collapsed="false">
      <c r="A20" s="7" t="s">
        <v>117</v>
      </c>
      <c r="B20" s="8" t="s">
        <v>37</v>
      </c>
      <c r="C20" s="8" t="s">
        <v>113</v>
      </c>
      <c r="D20" s="8" t="s">
        <v>39</v>
      </c>
      <c r="E20" s="8" t="s">
        <v>118</v>
      </c>
      <c r="F20" s="8" t="s">
        <v>119</v>
      </c>
      <c r="G20" s="8" t="s">
        <v>103</v>
      </c>
      <c r="H20" s="8" t="s">
        <v>112</v>
      </c>
      <c r="I20" s="8" t="s">
        <v>120</v>
      </c>
      <c r="J20" s="8" t="s">
        <v>45</v>
      </c>
    </row>
    <row r="21" customFormat="false" ht="23.85" hidden="false" customHeight="false" outlineLevel="0" collapsed="false">
      <c r="A21" s="9" t="s">
        <v>121</v>
      </c>
      <c r="B21" s="10" t="s">
        <v>37</v>
      </c>
      <c r="C21" s="10" t="s">
        <v>113</v>
      </c>
      <c r="D21" s="10" t="s">
        <v>39</v>
      </c>
      <c r="E21" s="10" t="s">
        <v>122</v>
      </c>
      <c r="F21" s="10" t="s">
        <v>123</v>
      </c>
      <c r="G21" s="10" t="s">
        <v>103</v>
      </c>
      <c r="H21" s="10" t="s">
        <v>112</v>
      </c>
      <c r="I21" s="10" t="s">
        <v>120</v>
      </c>
      <c r="J21" s="10" t="s">
        <v>45</v>
      </c>
    </row>
    <row r="22" customFormat="false" ht="23.85" hidden="false" customHeight="false" outlineLevel="0" collapsed="false">
      <c r="A22" s="7" t="s">
        <v>124</v>
      </c>
      <c r="B22" s="8" t="s">
        <v>37</v>
      </c>
      <c r="C22" s="8" t="s">
        <v>113</v>
      </c>
      <c r="D22" s="8" t="s">
        <v>63</v>
      </c>
      <c r="E22" s="8" t="s">
        <v>125</v>
      </c>
      <c r="F22" s="8" t="s">
        <v>126</v>
      </c>
      <c r="G22" s="8" t="s">
        <v>103</v>
      </c>
      <c r="H22" s="8" t="s">
        <v>43</v>
      </c>
      <c r="I22" s="8" t="s">
        <v>127</v>
      </c>
      <c r="J22" s="8" t="s">
        <v>45</v>
      </c>
    </row>
    <row r="23" customFormat="false" ht="23.85" hidden="false" customHeight="false" outlineLevel="0" collapsed="false">
      <c r="A23" s="9" t="s">
        <v>128</v>
      </c>
      <c r="B23" s="10" t="s">
        <v>37</v>
      </c>
      <c r="C23" s="10" t="s">
        <v>113</v>
      </c>
      <c r="D23" s="10" t="s">
        <v>63</v>
      </c>
      <c r="E23" s="10" t="s">
        <v>129</v>
      </c>
      <c r="F23" s="10" t="s">
        <v>130</v>
      </c>
      <c r="G23" s="10" t="s">
        <v>103</v>
      </c>
      <c r="H23" s="10" t="s">
        <v>61</v>
      </c>
      <c r="I23" s="10" t="s">
        <v>131</v>
      </c>
      <c r="J23" s="10" t="s">
        <v>45</v>
      </c>
    </row>
    <row r="24" customFormat="false" ht="23.85" hidden="false" customHeight="false" outlineLevel="0" collapsed="false">
      <c r="A24" s="7" t="s">
        <v>132</v>
      </c>
      <c r="B24" s="8" t="s">
        <v>37</v>
      </c>
      <c r="C24" s="8" t="s">
        <v>113</v>
      </c>
      <c r="D24" s="8" t="s">
        <v>63</v>
      </c>
      <c r="E24" s="8" t="s">
        <v>133</v>
      </c>
      <c r="F24" s="8" t="s">
        <v>134</v>
      </c>
      <c r="G24" s="8" t="s">
        <v>103</v>
      </c>
      <c r="H24" s="8" t="s">
        <v>71</v>
      </c>
      <c r="I24" s="8" t="s">
        <v>135</v>
      </c>
      <c r="J24" s="8" t="s">
        <v>45</v>
      </c>
    </row>
    <row r="25" customFormat="false" ht="23.85" hidden="false" customHeight="false" outlineLevel="0" collapsed="false">
      <c r="A25" s="9" t="s">
        <v>136</v>
      </c>
      <c r="B25" s="10" t="s">
        <v>37</v>
      </c>
      <c r="C25" s="10" t="s">
        <v>113</v>
      </c>
      <c r="D25" s="10" t="s">
        <v>63</v>
      </c>
      <c r="E25" s="10" t="s">
        <v>137</v>
      </c>
      <c r="F25" s="10" t="s">
        <v>138</v>
      </c>
      <c r="G25" s="10" t="s">
        <v>103</v>
      </c>
      <c r="H25" s="10" t="s">
        <v>56</v>
      </c>
      <c r="I25" s="10" t="s">
        <v>139</v>
      </c>
      <c r="J25" s="10" t="s">
        <v>45</v>
      </c>
    </row>
    <row r="26" customFormat="false" ht="23.85" hidden="false" customHeight="false" outlineLevel="0" collapsed="false">
      <c r="A26" s="7" t="s">
        <v>140</v>
      </c>
      <c r="B26" s="8" t="s">
        <v>37</v>
      </c>
      <c r="C26" s="8" t="s">
        <v>113</v>
      </c>
      <c r="D26" s="8" t="s">
        <v>47</v>
      </c>
      <c r="E26" s="8" t="s">
        <v>141</v>
      </c>
      <c r="F26" s="8" t="s">
        <v>142</v>
      </c>
      <c r="G26" s="8" t="s">
        <v>103</v>
      </c>
      <c r="H26" s="8" t="s">
        <v>56</v>
      </c>
      <c r="I26" s="8" t="s">
        <v>139</v>
      </c>
      <c r="J26" s="8" t="s">
        <v>45</v>
      </c>
    </row>
    <row r="27" customFormat="false" ht="15" hidden="false" customHeight="false" outlineLevel="0" collapsed="false">
      <c r="A27" s="9" t="s">
        <v>143</v>
      </c>
      <c r="B27" s="10" t="s">
        <v>144</v>
      </c>
      <c r="C27" s="10" t="s">
        <v>145</v>
      </c>
      <c r="D27" s="10" t="s">
        <v>39</v>
      </c>
      <c r="E27" s="10" t="s">
        <v>146</v>
      </c>
      <c r="F27" s="10" t="s">
        <v>147</v>
      </c>
      <c r="G27" s="10" t="s">
        <v>103</v>
      </c>
      <c r="H27" s="10"/>
      <c r="I27" s="10"/>
      <c r="J27" s="10" t="s">
        <v>45</v>
      </c>
    </row>
    <row r="28" customFormat="false" ht="15" hidden="false" customHeight="false" outlineLevel="0" collapsed="false">
      <c r="A28" s="7" t="s">
        <v>148</v>
      </c>
      <c r="B28" s="8" t="s">
        <v>144</v>
      </c>
      <c r="C28" s="8" t="s">
        <v>145</v>
      </c>
      <c r="D28" s="8" t="s">
        <v>39</v>
      </c>
      <c r="E28" s="8" t="s">
        <v>149</v>
      </c>
      <c r="F28" s="8" t="s">
        <v>150</v>
      </c>
      <c r="G28" s="8" t="s">
        <v>103</v>
      </c>
      <c r="H28" s="8"/>
      <c r="I28" s="8"/>
      <c r="J28" s="8" t="s">
        <v>45</v>
      </c>
    </row>
    <row r="29" customFormat="false" ht="23.85" hidden="false" customHeight="false" outlineLevel="0" collapsed="false">
      <c r="A29" s="9" t="s">
        <v>151</v>
      </c>
      <c r="B29" s="10" t="s">
        <v>144</v>
      </c>
      <c r="C29" s="10" t="s">
        <v>145</v>
      </c>
      <c r="D29" s="10" t="s">
        <v>39</v>
      </c>
      <c r="E29" s="10" t="s">
        <v>152</v>
      </c>
      <c r="F29" s="10" t="s">
        <v>153</v>
      </c>
      <c r="G29" s="10" t="s">
        <v>103</v>
      </c>
      <c r="H29" s="10"/>
      <c r="I29" s="10"/>
      <c r="J29" s="10" t="s">
        <v>45</v>
      </c>
    </row>
    <row r="30" customFormat="false" ht="15" hidden="false" customHeight="false" outlineLevel="0" collapsed="false">
      <c r="A30" s="7" t="s">
        <v>154</v>
      </c>
      <c r="B30" s="8" t="s">
        <v>144</v>
      </c>
      <c r="C30" s="8" t="s">
        <v>145</v>
      </c>
      <c r="D30" s="8" t="s">
        <v>63</v>
      </c>
      <c r="E30" s="8" t="s">
        <v>155</v>
      </c>
      <c r="F30" s="8" t="s">
        <v>156</v>
      </c>
      <c r="G30" s="8" t="s">
        <v>103</v>
      </c>
      <c r="H30" s="8"/>
      <c r="I30" s="8"/>
      <c r="J30" s="8" t="s">
        <v>45</v>
      </c>
    </row>
    <row r="31" customFormat="false" ht="15" hidden="false" customHeight="false" outlineLevel="0" collapsed="false">
      <c r="A31" s="9" t="s">
        <v>157</v>
      </c>
      <c r="B31" s="10" t="s">
        <v>144</v>
      </c>
      <c r="C31" s="10" t="s">
        <v>145</v>
      </c>
      <c r="D31" s="10" t="s">
        <v>47</v>
      </c>
      <c r="E31" s="10" t="s">
        <v>158</v>
      </c>
      <c r="F31" s="10" t="s">
        <v>159</v>
      </c>
      <c r="G31" s="10" t="s">
        <v>103</v>
      </c>
      <c r="H31" s="10"/>
      <c r="I31" s="10"/>
      <c r="J31" s="10" t="s">
        <v>45</v>
      </c>
    </row>
  </sheetData>
  <autoFilter ref="A1:J31"/>
  <dataValidations count="3">
    <dataValidation allowBlank="true" errorStyle="stop" operator="between" showDropDown="false" showErrorMessage="false" showInputMessage="false" sqref="C2:C500" type="list">
      <formula1>"Disease,Medication,Sign / symptom,Lab / test,Abbreviation"</formula1>
      <formula2>0</formula2>
    </dataValidation>
    <dataValidation allowBlank="true" errorStyle="stop" operator="between" showDropDown="false" showErrorMessage="false" showInputMessage="false" sqref="D2:D500" type="list">
      <formula1>"Basic,Intermediate,Advanced"</formula1>
      <formula2>0</formula2>
    </dataValidation>
    <dataValidation allowBlank="true" errorStyle="stop" operator="between" showDropDown="false" showErrorMessage="false" showInputMessage="false" sqref="J2:J500" type="list">
      <formula1>"Draft,Verified,Needs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1" t="s">
        <v>160</v>
      </c>
    </row>
    <row r="2" customFormat="false" ht="15" hidden="false" customHeight="false" outlineLevel="0" collapsed="false">
      <c r="A2" s="12" t="s">
        <v>161</v>
      </c>
    </row>
    <row r="3" customFormat="false" ht="15" hidden="false" customHeight="false" outlineLevel="0" collapsed="false">
      <c r="A3" s="4" t="s">
        <v>18</v>
      </c>
      <c r="B3" s="13" t="s">
        <v>37</v>
      </c>
    </row>
    <row r="5" customFormat="false" ht="15" hidden="false" customHeight="false" outlineLevel="0" collapsed="false">
      <c r="A5" s="14" t="s">
        <v>20</v>
      </c>
      <c r="B5" s="14" t="s">
        <v>39</v>
      </c>
      <c r="C5" s="14" t="s">
        <v>63</v>
      </c>
      <c r="D5" s="14" t="s">
        <v>47</v>
      </c>
      <c r="E5" s="14" t="s">
        <v>162</v>
      </c>
    </row>
    <row r="6" customFormat="false" ht="15" hidden="false" customHeight="false" outlineLevel="0" collapsed="false">
      <c r="A6" s="15" t="s">
        <v>38</v>
      </c>
      <c r="B6" s="15" t="n">
        <f aca="false">COUNTIFS(Terms!$C:$C,$A6,Terms!$D:$D,"Basic",Terms!$B:$B,"*"&amp;$B$3&amp;"*")+COUNTIFS(Terms!$C:$C,$A6,Terms!$D:$D,"Basic",Terms!$B:$B,"All")</f>
        <v>1</v>
      </c>
      <c r="C6" s="15" t="n">
        <f aca="false">COUNTIFS(Terms!$C:$C,$A6,Terms!$D:$D,"Intermediate",Terms!$B:$B,"*"&amp;$B$3&amp;"*")+COUNTIFS(Terms!$C:$C,$A6,Terms!$D:$D,"Intermediate",Terms!$B:$B,"All")</f>
        <v>2</v>
      </c>
      <c r="D6" s="15" t="n">
        <f aca="false">COUNTIFS(Terms!$C:$C,$A6,Terms!$D:$D,"Advanced",Terms!$B:$B,"*"&amp;$B$3&amp;"*")+COUNTIFS(Terms!$C:$C,$A6,Terms!$D:$D,"Advanced",Terms!$B:$B,"All")</f>
        <v>3</v>
      </c>
      <c r="E6" s="4" t="n">
        <f aca="false">SUM(B6:D6)</f>
        <v>6</v>
      </c>
    </row>
    <row r="7" customFormat="false" ht="15" hidden="false" customHeight="false" outlineLevel="0" collapsed="false">
      <c r="A7" s="15" t="s">
        <v>72</v>
      </c>
      <c r="B7" s="15" t="n">
        <f aca="false">COUNTIFS(Terms!$C:$C,$A7,Terms!$D:$D,"Basic",Terms!$B:$B,"*"&amp;$B$3&amp;"*")+COUNTIFS(Terms!$C:$C,$A7,Terms!$D:$D,"Basic",Terms!$B:$B,"All")</f>
        <v>0</v>
      </c>
      <c r="C7" s="15" t="n">
        <f aca="false">COUNTIFS(Terms!$C:$C,$A7,Terms!$D:$D,"Intermediate",Terms!$B:$B,"*"&amp;$B$3&amp;"*")+COUNTIFS(Terms!$C:$C,$A7,Terms!$D:$D,"Intermediate",Terms!$B:$B,"All")</f>
        <v>8</v>
      </c>
      <c r="D7" s="15" t="n">
        <f aca="false">COUNTIFS(Terms!$C:$C,$A7,Terms!$D:$D,"Advanced",Terms!$B:$B,"*"&amp;$B$3&amp;"*")+COUNTIFS(Terms!$C:$C,$A7,Terms!$D:$D,"Advanced",Terms!$B:$B,"All")</f>
        <v>0</v>
      </c>
      <c r="E7" s="4" t="n">
        <f aca="false">SUM(B7:D7)</f>
        <v>8</v>
      </c>
    </row>
    <row r="8" customFormat="false" ht="15" hidden="false" customHeight="false" outlineLevel="0" collapsed="false">
      <c r="A8" s="15" t="s">
        <v>100</v>
      </c>
      <c r="B8" s="15" t="n">
        <f aca="false">COUNTIFS(Terms!$C:$C,$A8,Terms!$D:$D,"Basic",Terms!$B:$B,"*"&amp;$B$3&amp;"*")+COUNTIFS(Terms!$C:$C,$A8,Terms!$D:$D,"Basic",Terms!$B:$B,"All")</f>
        <v>1</v>
      </c>
      <c r="C8" s="15" t="n">
        <f aca="false">COUNTIFS(Terms!$C:$C,$A8,Terms!$D:$D,"Intermediate",Terms!$B:$B,"*"&amp;$B$3&amp;"*")+COUNTIFS(Terms!$C:$C,$A8,Terms!$D:$D,"Intermediate",Terms!$B:$B,"All")</f>
        <v>2</v>
      </c>
      <c r="D8" s="15" t="n">
        <f aca="false">COUNTIFS(Terms!$C:$C,$A8,Terms!$D:$D,"Advanced",Terms!$B:$B,"*"&amp;$B$3&amp;"*")+COUNTIFS(Terms!$C:$C,$A8,Terms!$D:$D,"Advanced",Terms!$B:$B,"All")</f>
        <v>0</v>
      </c>
      <c r="E8" s="4" t="n">
        <f aca="false">SUM(B8:D8)</f>
        <v>3</v>
      </c>
    </row>
    <row r="9" customFormat="false" ht="15" hidden="false" customHeight="false" outlineLevel="0" collapsed="false">
      <c r="A9" s="15" t="s">
        <v>113</v>
      </c>
      <c r="B9" s="15" t="n">
        <f aca="false">COUNTIFS(Terms!$C:$C,$A9,Terms!$D:$D,"Basic",Terms!$B:$B,"*"&amp;$B$3&amp;"*")+COUNTIFS(Terms!$C:$C,$A9,Terms!$D:$D,"Basic",Terms!$B:$B,"All")</f>
        <v>3</v>
      </c>
      <c r="C9" s="15" t="n">
        <f aca="false">COUNTIFS(Terms!$C:$C,$A9,Terms!$D:$D,"Intermediate",Terms!$B:$B,"*"&amp;$B$3&amp;"*")+COUNTIFS(Terms!$C:$C,$A9,Terms!$D:$D,"Intermediate",Terms!$B:$B,"All")</f>
        <v>4</v>
      </c>
      <c r="D9" s="15" t="n">
        <f aca="false">COUNTIFS(Terms!$C:$C,$A9,Terms!$D:$D,"Advanced",Terms!$B:$B,"*"&amp;$B$3&amp;"*")+COUNTIFS(Terms!$C:$C,$A9,Terms!$D:$D,"Advanced",Terms!$B:$B,"All")</f>
        <v>1</v>
      </c>
      <c r="E9" s="4" t="n">
        <f aca="false">SUM(B9:D9)</f>
        <v>8</v>
      </c>
    </row>
    <row r="10" customFormat="false" ht="15" hidden="false" customHeight="false" outlineLevel="0" collapsed="false">
      <c r="A10" s="15" t="s">
        <v>145</v>
      </c>
      <c r="B10" s="15" t="n">
        <f aca="false">COUNTIFS(Terms!$C:$C,$A10,Terms!$D:$D,"Basic",Terms!$B:$B,"*"&amp;$B$3&amp;"*")+COUNTIFS(Terms!$C:$C,$A10,Terms!$D:$D,"Basic",Terms!$B:$B,"All")</f>
        <v>3</v>
      </c>
      <c r="C10" s="15" t="n">
        <f aca="false">COUNTIFS(Terms!$C:$C,$A10,Terms!$D:$D,"Intermediate",Terms!$B:$B,"*"&amp;$B$3&amp;"*")+COUNTIFS(Terms!$C:$C,$A10,Terms!$D:$D,"Intermediate",Terms!$B:$B,"All")</f>
        <v>1</v>
      </c>
      <c r="D10" s="15" t="n">
        <f aca="false">COUNTIFS(Terms!$C:$C,$A10,Terms!$D:$D,"Advanced",Terms!$B:$B,"*"&amp;$B$3&amp;"*")+COUNTIFS(Terms!$C:$C,$A10,Terms!$D:$D,"Advanced",Terms!$B:$B,"All")</f>
        <v>1</v>
      </c>
      <c r="E10" s="4" t="n">
        <f aca="false">SUM(B10:D10)</f>
        <v>5</v>
      </c>
    </row>
    <row r="11" customFormat="false" ht="15" hidden="false" customHeight="false" outlineLevel="0" collapsed="false">
      <c r="A11" s="4" t="s">
        <v>162</v>
      </c>
      <c r="B11" s="4" t="n">
        <f aca="false">SUM(B6:B10)</f>
        <v>8</v>
      </c>
      <c r="C11" s="4" t="n">
        <f aca="false">SUM(C6:C10)</f>
        <v>17</v>
      </c>
      <c r="D11" s="4" t="n">
        <f aca="false">SUM(D6:D10)</f>
        <v>5</v>
      </c>
      <c r="E11" s="4" t="n">
        <f aca="false">SUM(E6:E10)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2026-10-25T20:53:13Z</dcterms:created>
  <dc:creator>openpyxl</dc:creator>
  <dc:description/>
  <dc:language>en-US</dc:language>
  <cp:lastModifiedBy/>
  <dcterms:modified xsi:type="dcterms:W3CDTF">2026-10-25T20:53:13Z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